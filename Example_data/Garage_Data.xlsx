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ukparlamis/Downloads/DEAMATLAB-master/deatoolbox/"/>
    </mc:Choice>
  </mc:AlternateContent>
  <xr:revisionPtr revIDLastSave="0" documentId="13_ncr:1_{55134DCB-9B1E-264F-92A4-3586AFDDCB63}" xr6:coauthVersionLast="47" xr6:coauthVersionMax="47" xr10:uidLastSave="{00000000-0000-0000-0000-000000000000}"/>
  <bookViews>
    <workbookView xWindow="0" yWindow="740" windowWidth="30240" windowHeight="18900" xr2:uid="{4E3082A1-695A-334C-AB2D-0F245FAB7AE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C3" i="2"/>
  <c r="D3" i="2"/>
  <c r="E3" i="2"/>
  <c r="F3" i="2"/>
  <c r="G3" i="2"/>
  <c r="I3" i="2"/>
  <c r="J3" i="2"/>
  <c r="K3" i="2"/>
  <c r="B3" i="2"/>
  <c r="C2" i="2"/>
  <c r="C4" i="2" s="1"/>
  <c r="D2" i="2"/>
  <c r="D4" i="2" s="1"/>
  <c r="E2" i="2"/>
  <c r="E4" i="2" s="1"/>
  <c r="F2" i="2"/>
  <c r="F4" i="2" s="1"/>
  <c r="G2" i="2"/>
  <c r="G4" i="2" s="1"/>
  <c r="I2" i="2"/>
  <c r="I4" i="2" s="1"/>
  <c r="J2" i="2"/>
  <c r="J4" i="2" s="1"/>
  <c r="K2" i="2"/>
  <c r="B2" i="2"/>
  <c r="B4" i="2" s="1"/>
</calcChain>
</file>

<file path=xl/sharedStrings.xml><?xml version="1.0" encoding="utf-8"?>
<sst xmlns="http://schemas.openxmlformats.org/spreadsheetml/2006/main" count="54" uniqueCount="42">
  <si>
    <t>Garage DMUs</t>
  </si>
  <si>
    <t>Staff (I)</t>
  </si>
  <si>
    <t>Show room space (100 m2) (I)</t>
  </si>
  <si>
    <t>Population in category 1 (1000 s) (I)</t>
  </si>
  <si>
    <t>Population in category 2 (1000 s) (I)</t>
  </si>
  <si>
    <t>Enquiries Alpha model (100 s) (I)</t>
  </si>
  <si>
    <t>Enquiries Beta model (100 s) (I)</t>
  </si>
  <si>
    <t>Alpha sales (1000 s) (O)</t>
  </si>
  <si>
    <t>Beta sales (1000 s) (O)</t>
  </si>
  <si>
    <t>Profit (millions) (O)</t>
  </si>
  <si>
    <t>Winchester</t>
  </si>
  <si>
    <t>Poole</t>
  </si>
  <si>
    <t>No.</t>
  </si>
  <si>
    <t>Andover</t>
  </si>
  <si>
    <t>Basingstoke</t>
  </si>
  <si>
    <t>Woking</t>
  </si>
  <si>
    <t>Newbury</t>
  </si>
  <si>
    <t>Portsmouth</t>
  </si>
  <si>
    <t>Alresford</t>
  </si>
  <si>
    <t>Salisbury</t>
  </si>
  <si>
    <t>Guildford</t>
  </si>
  <si>
    <t>Alton</t>
  </si>
  <si>
    <t>Weybridge</t>
  </si>
  <si>
    <t>Dorchester</t>
  </si>
  <si>
    <t>Bridport</t>
  </si>
  <si>
    <t>Weymouth</t>
  </si>
  <si>
    <t>Portland</t>
  </si>
  <si>
    <t>Chichester</t>
  </si>
  <si>
    <t>Petersfield</t>
  </si>
  <si>
    <t>Petworth</t>
  </si>
  <si>
    <t>Midhurst</t>
  </si>
  <si>
    <t>Reading</t>
  </si>
  <si>
    <t>Southampton</t>
  </si>
  <si>
    <t>Bournemouth</t>
  </si>
  <si>
    <t>Henley</t>
  </si>
  <si>
    <t>Maidenhead</t>
  </si>
  <si>
    <t>Fareham</t>
  </si>
  <si>
    <t>Romsey</t>
  </si>
  <si>
    <t>Ringwood</t>
  </si>
  <si>
    <t>Standard Dev.</t>
  </si>
  <si>
    <t>Mean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</si>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</sst>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CCB-FED0-B449-A260-E87CFE3F0CD2}">
  <dimension ref="A1:K29"/>
  <sheetViews>
    <sheetView tabSelected="1" zoomScale="81" workbookViewId="0">
      <selection activeCell="F33" sqref="F33"/>
    </sheetView>
  </sheetViews>
  <sheetFormatPr baseColWidth="10" defaultRowHeight="16" x14ac:dyDescent="0.2"/>
  <cols>
    <col min="2" max="8" width="19.5" customWidth="1"/>
    <col min="9" max="9" width="16.1640625" customWidth="1"/>
    <col min="10" max="10" width="14.5" customWidth="1"/>
    <col min="11" max="11" width="19.5" customWidth="1"/>
  </cols>
  <sheetData>
    <row r="1" spans="1:11" ht="34" customHeight="1" x14ac:dyDescent="0.2">
      <c r="A1" s="2" t="s">
        <v>12</v>
      </c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s="1" customFormat="1" ht="23" customHeight="1" x14ac:dyDescent="0.2">
      <c r="A2" s="1">
        <v>1</v>
      </c>
      <c r="B2" s="1" t="s">
        <v>10</v>
      </c>
      <c r="C2" s="1">
        <v>7</v>
      </c>
      <c r="D2" s="1">
        <v>8</v>
      </c>
      <c r="E2" s="1">
        <v>10</v>
      </c>
      <c r="F2" s="1">
        <v>12</v>
      </c>
      <c r="G2" s="1">
        <v>8.5</v>
      </c>
      <c r="H2" s="1">
        <v>4</v>
      </c>
      <c r="I2" s="1">
        <v>2</v>
      </c>
      <c r="J2" s="1">
        <v>0.6</v>
      </c>
      <c r="K2" s="1">
        <v>1.5</v>
      </c>
    </row>
    <row r="3" spans="1:11" s="1" customFormat="1" ht="23" customHeight="1" x14ac:dyDescent="0.2">
      <c r="A3" s="1">
        <v>2</v>
      </c>
      <c r="B3" s="1" t="s">
        <v>13</v>
      </c>
      <c r="C3" s="1">
        <v>6</v>
      </c>
      <c r="D3" s="1">
        <v>6</v>
      </c>
      <c r="E3" s="1">
        <v>20</v>
      </c>
      <c r="F3" s="1">
        <v>30</v>
      </c>
      <c r="G3" s="1">
        <v>9</v>
      </c>
      <c r="H3" s="1">
        <v>4.5</v>
      </c>
      <c r="I3" s="1">
        <v>2.2999999999999998</v>
      </c>
      <c r="J3" s="1">
        <v>0.7</v>
      </c>
      <c r="K3" s="1">
        <v>1.6</v>
      </c>
    </row>
    <row r="4" spans="1:11" s="1" customFormat="1" ht="23" customHeight="1" x14ac:dyDescent="0.2">
      <c r="A4" s="1">
        <v>3</v>
      </c>
      <c r="B4" s="1" t="s">
        <v>14</v>
      </c>
      <c r="C4" s="1">
        <v>2</v>
      </c>
      <c r="D4" s="1">
        <v>3</v>
      </c>
      <c r="E4" s="1">
        <v>40</v>
      </c>
      <c r="F4" s="1">
        <v>40</v>
      </c>
      <c r="G4" s="1">
        <v>2</v>
      </c>
      <c r="H4" s="1">
        <v>1.5</v>
      </c>
      <c r="I4" s="1">
        <v>0.8</v>
      </c>
      <c r="J4" s="1">
        <v>0.25</v>
      </c>
      <c r="K4" s="1">
        <v>0.5</v>
      </c>
    </row>
    <row r="5" spans="1:11" s="1" customFormat="1" ht="23" customHeight="1" x14ac:dyDescent="0.2">
      <c r="A5" s="1">
        <v>4</v>
      </c>
      <c r="B5" s="1" t="s">
        <v>11</v>
      </c>
      <c r="C5" s="1">
        <v>14</v>
      </c>
      <c r="D5" s="1">
        <v>9</v>
      </c>
      <c r="E5" s="1">
        <v>20</v>
      </c>
      <c r="F5" s="1">
        <v>25</v>
      </c>
      <c r="G5" s="1">
        <v>10</v>
      </c>
      <c r="H5" s="1">
        <v>6</v>
      </c>
      <c r="I5" s="1">
        <v>2.6</v>
      </c>
      <c r="J5" s="1">
        <v>0.86</v>
      </c>
      <c r="K5" s="1">
        <v>1.9</v>
      </c>
    </row>
    <row r="6" spans="1:11" s="1" customFormat="1" ht="23" customHeight="1" x14ac:dyDescent="0.2">
      <c r="A6" s="1">
        <v>5</v>
      </c>
      <c r="B6" s="1" t="s">
        <v>15</v>
      </c>
      <c r="C6" s="1">
        <v>10</v>
      </c>
      <c r="D6" s="1">
        <v>9</v>
      </c>
      <c r="E6" s="1">
        <v>10</v>
      </c>
      <c r="F6" s="1">
        <v>10</v>
      </c>
      <c r="G6" s="1">
        <v>11</v>
      </c>
      <c r="H6" s="1">
        <v>5</v>
      </c>
      <c r="I6" s="1">
        <v>2.4</v>
      </c>
      <c r="J6" s="1">
        <v>1</v>
      </c>
      <c r="K6" s="1">
        <v>2</v>
      </c>
    </row>
    <row r="7" spans="1:11" s="1" customFormat="1" ht="23" customHeight="1" x14ac:dyDescent="0.2">
      <c r="A7" s="1">
        <v>6</v>
      </c>
      <c r="B7" s="1" t="s">
        <v>16</v>
      </c>
      <c r="C7" s="1">
        <v>24</v>
      </c>
      <c r="D7" s="1">
        <v>15</v>
      </c>
      <c r="E7" s="1">
        <v>15</v>
      </c>
      <c r="F7" s="1">
        <v>13</v>
      </c>
      <c r="G7" s="1">
        <v>25</v>
      </c>
      <c r="H7" s="1">
        <v>1.9</v>
      </c>
      <c r="I7" s="1">
        <v>8</v>
      </c>
      <c r="J7" s="1">
        <v>2.6</v>
      </c>
      <c r="K7" s="1">
        <v>4.5</v>
      </c>
    </row>
    <row r="8" spans="1:11" s="1" customFormat="1" ht="23" customHeight="1" x14ac:dyDescent="0.2">
      <c r="A8" s="1">
        <v>7</v>
      </c>
      <c r="B8" s="1" t="s">
        <v>17</v>
      </c>
      <c r="C8" s="1">
        <v>6</v>
      </c>
      <c r="D8" s="1">
        <v>7</v>
      </c>
      <c r="E8" s="1">
        <v>50</v>
      </c>
      <c r="F8" s="1">
        <v>40</v>
      </c>
      <c r="G8" s="1">
        <v>8.5</v>
      </c>
      <c r="H8" s="1">
        <v>3</v>
      </c>
      <c r="I8" s="1">
        <v>2.5</v>
      </c>
      <c r="J8" s="1">
        <v>0.9</v>
      </c>
      <c r="K8" s="1">
        <v>1.6</v>
      </c>
    </row>
    <row r="9" spans="1:11" s="1" customFormat="1" ht="23" customHeight="1" x14ac:dyDescent="0.2">
      <c r="A9" s="1">
        <v>8</v>
      </c>
      <c r="B9" s="1" t="s">
        <v>18</v>
      </c>
      <c r="C9" s="1">
        <v>8</v>
      </c>
      <c r="D9" s="1">
        <v>7.5</v>
      </c>
      <c r="E9" s="1">
        <v>5</v>
      </c>
      <c r="F9" s="1">
        <v>8</v>
      </c>
      <c r="G9" s="1">
        <v>9</v>
      </c>
      <c r="H9" s="1">
        <v>4</v>
      </c>
      <c r="I9" s="1">
        <v>2.1</v>
      </c>
      <c r="J9" s="1">
        <v>0.85</v>
      </c>
      <c r="K9" s="1">
        <v>2</v>
      </c>
    </row>
    <row r="10" spans="1:11" s="1" customFormat="1" ht="23" customHeight="1" x14ac:dyDescent="0.2">
      <c r="A10" s="1">
        <v>9</v>
      </c>
      <c r="B10" s="1" t="s">
        <v>19</v>
      </c>
      <c r="C10" s="1">
        <v>5</v>
      </c>
      <c r="D10" s="1">
        <v>5</v>
      </c>
      <c r="E10" s="1">
        <v>10</v>
      </c>
      <c r="F10" s="1">
        <v>10</v>
      </c>
      <c r="G10" s="1">
        <v>5</v>
      </c>
      <c r="H10" s="1">
        <v>2.5</v>
      </c>
      <c r="I10" s="1">
        <v>2</v>
      </c>
      <c r="J10" s="1">
        <v>0.65</v>
      </c>
      <c r="K10" s="1">
        <v>0.9</v>
      </c>
    </row>
    <row r="11" spans="1:11" s="1" customFormat="1" ht="23" customHeight="1" x14ac:dyDescent="0.2">
      <c r="A11" s="1">
        <v>10</v>
      </c>
      <c r="B11" s="1" t="s">
        <v>20</v>
      </c>
      <c r="C11" s="1">
        <v>8</v>
      </c>
      <c r="D11" s="1">
        <v>10</v>
      </c>
      <c r="E11" s="1">
        <v>30</v>
      </c>
      <c r="F11" s="1">
        <v>35</v>
      </c>
      <c r="G11" s="1">
        <v>9.5</v>
      </c>
      <c r="H11" s="1">
        <v>4.5</v>
      </c>
      <c r="I11" s="1">
        <v>2.0499999999999998</v>
      </c>
      <c r="J11" s="1">
        <v>0.75</v>
      </c>
      <c r="K11" s="1">
        <v>1.7</v>
      </c>
    </row>
    <row r="12" spans="1:11" s="1" customFormat="1" ht="23" customHeight="1" x14ac:dyDescent="0.2">
      <c r="A12" s="1">
        <v>11</v>
      </c>
      <c r="B12" s="1" t="s">
        <v>21</v>
      </c>
      <c r="C12" s="1">
        <v>7</v>
      </c>
      <c r="D12" s="1">
        <v>8</v>
      </c>
      <c r="E12" s="1">
        <v>7</v>
      </c>
      <c r="F12" s="1">
        <v>8</v>
      </c>
      <c r="G12" s="1">
        <v>3</v>
      </c>
      <c r="H12" s="1">
        <v>2</v>
      </c>
      <c r="I12" s="1">
        <v>1.9</v>
      </c>
      <c r="J12" s="1">
        <v>0.7</v>
      </c>
      <c r="K12" s="1">
        <v>0.5</v>
      </c>
    </row>
    <row r="13" spans="1:11" s="1" customFormat="1" ht="23" customHeight="1" x14ac:dyDescent="0.2">
      <c r="A13" s="1">
        <v>12</v>
      </c>
      <c r="B13" s="1" t="s">
        <v>22</v>
      </c>
      <c r="C13" s="1">
        <v>5</v>
      </c>
      <c r="D13" s="1">
        <v>6.5</v>
      </c>
      <c r="E13" s="1">
        <v>9</v>
      </c>
      <c r="F13" s="1">
        <v>12</v>
      </c>
      <c r="G13" s="1">
        <v>8</v>
      </c>
      <c r="H13" s="1">
        <v>4.5</v>
      </c>
      <c r="I13" s="1">
        <v>1.8</v>
      </c>
      <c r="J13" s="1">
        <v>0.63</v>
      </c>
      <c r="K13" s="1">
        <v>1.4</v>
      </c>
    </row>
    <row r="14" spans="1:11" s="1" customFormat="1" ht="23" customHeight="1" x14ac:dyDescent="0.2">
      <c r="A14" s="1">
        <v>13</v>
      </c>
      <c r="B14" s="1" t="s">
        <v>23</v>
      </c>
      <c r="C14" s="1">
        <v>6</v>
      </c>
      <c r="D14" s="1">
        <v>7.5</v>
      </c>
      <c r="E14" s="1">
        <v>10</v>
      </c>
      <c r="F14" s="1">
        <v>10</v>
      </c>
      <c r="G14" s="1">
        <v>7.5</v>
      </c>
      <c r="H14" s="1">
        <v>4</v>
      </c>
      <c r="I14" s="1">
        <v>1.5</v>
      </c>
      <c r="J14" s="1">
        <v>0.45</v>
      </c>
      <c r="K14" s="1">
        <v>1.45</v>
      </c>
    </row>
    <row r="15" spans="1:11" s="1" customFormat="1" ht="23" customHeight="1" x14ac:dyDescent="0.2">
      <c r="A15" s="1">
        <v>14</v>
      </c>
      <c r="B15" s="1" t="s">
        <v>24</v>
      </c>
      <c r="C15" s="1">
        <v>11</v>
      </c>
      <c r="D15" s="1">
        <v>8</v>
      </c>
      <c r="E15" s="1">
        <v>8</v>
      </c>
      <c r="F15" s="1">
        <v>10</v>
      </c>
      <c r="G15" s="1">
        <v>10</v>
      </c>
      <c r="H15" s="1">
        <v>6</v>
      </c>
      <c r="I15" s="1">
        <v>2.2000000000000002</v>
      </c>
      <c r="J15" s="1">
        <v>0.65</v>
      </c>
      <c r="K15" s="1">
        <v>2.2000000000000002</v>
      </c>
    </row>
    <row r="16" spans="1:11" s="1" customFormat="1" ht="23" customHeight="1" x14ac:dyDescent="0.2">
      <c r="A16" s="1">
        <v>15</v>
      </c>
      <c r="B16" s="1" t="s">
        <v>25</v>
      </c>
      <c r="C16" s="1">
        <v>4</v>
      </c>
      <c r="D16" s="1">
        <v>5</v>
      </c>
      <c r="E16" s="1">
        <v>10</v>
      </c>
      <c r="F16" s="1">
        <v>10</v>
      </c>
      <c r="G16" s="1">
        <v>7.5</v>
      </c>
      <c r="H16" s="1">
        <v>3.5</v>
      </c>
      <c r="I16" s="1">
        <v>1.8</v>
      </c>
      <c r="J16" s="1">
        <v>0.62</v>
      </c>
      <c r="K16" s="1">
        <v>1.6</v>
      </c>
    </row>
    <row r="17" spans="1:11" s="1" customFormat="1" ht="23" customHeight="1" x14ac:dyDescent="0.2">
      <c r="A17" s="1">
        <v>16</v>
      </c>
      <c r="B17" s="1" t="s">
        <v>26</v>
      </c>
      <c r="C17" s="1">
        <v>3</v>
      </c>
      <c r="D17" s="1">
        <v>3.5</v>
      </c>
      <c r="E17" s="1">
        <v>3</v>
      </c>
      <c r="F17" s="1">
        <v>20</v>
      </c>
      <c r="G17" s="1">
        <v>2</v>
      </c>
      <c r="H17" s="1">
        <v>1.5</v>
      </c>
      <c r="I17" s="1">
        <v>0.9</v>
      </c>
      <c r="J17" s="1">
        <v>0.35</v>
      </c>
      <c r="K17" s="1">
        <v>0.5</v>
      </c>
    </row>
    <row r="18" spans="1:11" s="1" customFormat="1" ht="23" customHeight="1" x14ac:dyDescent="0.2">
      <c r="A18" s="1">
        <v>17</v>
      </c>
      <c r="B18" s="1" t="s">
        <v>27</v>
      </c>
      <c r="C18" s="1">
        <v>5</v>
      </c>
      <c r="D18" s="1">
        <v>5.5</v>
      </c>
      <c r="E18" s="1">
        <v>8</v>
      </c>
      <c r="F18" s="1">
        <v>10</v>
      </c>
      <c r="G18" s="1">
        <v>7</v>
      </c>
      <c r="H18" s="1">
        <v>3.5</v>
      </c>
      <c r="I18" s="1">
        <v>1.2</v>
      </c>
      <c r="J18" s="1">
        <v>0.45</v>
      </c>
      <c r="K18" s="1">
        <v>1.3</v>
      </c>
    </row>
    <row r="19" spans="1:11" s="1" customFormat="1" ht="23" customHeight="1" x14ac:dyDescent="0.2">
      <c r="A19" s="1">
        <v>18</v>
      </c>
      <c r="B19" s="1" t="s">
        <v>28</v>
      </c>
      <c r="C19" s="1">
        <v>21</v>
      </c>
      <c r="D19" s="1">
        <v>12</v>
      </c>
      <c r="E19" s="1">
        <v>6</v>
      </c>
      <c r="F19" s="1">
        <v>6</v>
      </c>
      <c r="G19" s="1">
        <v>15</v>
      </c>
      <c r="H19" s="1">
        <v>8</v>
      </c>
      <c r="I19" s="1">
        <v>6</v>
      </c>
      <c r="J19" s="1">
        <v>0.25</v>
      </c>
      <c r="K19" s="1">
        <v>2.9</v>
      </c>
    </row>
    <row r="20" spans="1:11" s="1" customFormat="1" ht="23" customHeight="1" x14ac:dyDescent="0.2">
      <c r="A20" s="1">
        <v>19</v>
      </c>
      <c r="B20" s="1" t="s">
        <v>29</v>
      </c>
      <c r="C20" s="1">
        <v>6</v>
      </c>
      <c r="D20" s="1">
        <v>5.5</v>
      </c>
      <c r="E20" s="1">
        <v>2</v>
      </c>
      <c r="F20" s="1">
        <v>2</v>
      </c>
      <c r="G20" s="1">
        <v>8</v>
      </c>
      <c r="H20" s="1">
        <v>5</v>
      </c>
      <c r="I20" s="1">
        <v>1.5</v>
      </c>
      <c r="J20" s="1">
        <v>0.55000000000000004</v>
      </c>
      <c r="K20" s="1">
        <v>1.55</v>
      </c>
    </row>
    <row r="21" spans="1:11" s="1" customFormat="1" ht="23" customHeight="1" x14ac:dyDescent="0.2">
      <c r="A21" s="1">
        <v>20</v>
      </c>
      <c r="B21" s="1" t="s">
        <v>30</v>
      </c>
      <c r="C21" s="1">
        <v>3</v>
      </c>
      <c r="D21" s="1">
        <v>3.6</v>
      </c>
      <c r="E21" s="1">
        <v>3</v>
      </c>
      <c r="F21" s="1">
        <v>3</v>
      </c>
      <c r="G21" s="1">
        <v>2.5</v>
      </c>
      <c r="H21" s="1">
        <v>1.5</v>
      </c>
      <c r="I21" s="1">
        <v>0.8</v>
      </c>
      <c r="J21" s="1">
        <v>0.2</v>
      </c>
      <c r="K21" s="1">
        <v>0.45</v>
      </c>
    </row>
    <row r="22" spans="1:11" s="1" customFormat="1" ht="23" customHeight="1" x14ac:dyDescent="0.2">
      <c r="A22" s="1">
        <v>21</v>
      </c>
      <c r="B22" s="1" t="s">
        <v>31</v>
      </c>
      <c r="C22" s="1">
        <v>30</v>
      </c>
      <c r="D22" s="1">
        <v>29</v>
      </c>
      <c r="E22" s="1">
        <v>120</v>
      </c>
      <c r="F22" s="1">
        <v>80</v>
      </c>
      <c r="G22" s="1">
        <v>35</v>
      </c>
      <c r="H22" s="1">
        <v>20</v>
      </c>
      <c r="I22" s="1">
        <v>7</v>
      </c>
      <c r="J22" s="1">
        <v>2.5</v>
      </c>
      <c r="K22" s="1">
        <v>8</v>
      </c>
    </row>
    <row r="23" spans="1:11" s="1" customFormat="1" ht="23" customHeight="1" x14ac:dyDescent="0.2">
      <c r="A23" s="1">
        <v>22</v>
      </c>
      <c r="B23" s="1" t="s">
        <v>32</v>
      </c>
      <c r="C23" s="1">
        <v>25</v>
      </c>
      <c r="D23" s="1">
        <v>16</v>
      </c>
      <c r="E23" s="1">
        <v>110</v>
      </c>
      <c r="F23" s="1">
        <v>80</v>
      </c>
      <c r="G23" s="1">
        <v>27</v>
      </c>
      <c r="H23" s="1">
        <v>12</v>
      </c>
      <c r="I23" s="1">
        <v>6.5</v>
      </c>
      <c r="J23" s="1">
        <v>3.5</v>
      </c>
      <c r="K23" s="1">
        <v>5.4</v>
      </c>
    </row>
    <row r="24" spans="1:11" s="1" customFormat="1" ht="23" customHeight="1" x14ac:dyDescent="0.2">
      <c r="A24" s="1">
        <v>23</v>
      </c>
      <c r="B24" s="1" t="s">
        <v>33</v>
      </c>
      <c r="C24" s="1">
        <v>19</v>
      </c>
      <c r="D24" s="1">
        <v>10</v>
      </c>
      <c r="E24" s="1">
        <v>90</v>
      </c>
      <c r="F24" s="1">
        <v>22</v>
      </c>
      <c r="G24" s="1">
        <v>25</v>
      </c>
      <c r="H24" s="1">
        <v>13</v>
      </c>
      <c r="I24" s="1">
        <v>5.5</v>
      </c>
      <c r="J24" s="1">
        <v>3.1</v>
      </c>
      <c r="K24" s="1">
        <v>4.5</v>
      </c>
    </row>
    <row r="25" spans="1:11" s="1" customFormat="1" ht="23" customHeight="1" x14ac:dyDescent="0.2">
      <c r="A25" s="1">
        <v>24</v>
      </c>
      <c r="B25" s="1" t="s">
        <v>34</v>
      </c>
      <c r="C25" s="1">
        <v>7</v>
      </c>
      <c r="D25" s="1">
        <v>6</v>
      </c>
      <c r="E25" s="1">
        <v>5</v>
      </c>
      <c r="F25" s="1">
        <v>7</v>
      </c>
      <c r="G25" s="1">
        <v>8.5</v>
      </c>
      <c r="H25" s="1">
        <v>4.5</v>
      </c>
      <c r="I25" s="1">
        <v>1.2</v>
      </c>
      <c r="J25" s="1">
        <v>0.48</v>
      </c>
      <c r="K25" s="1">
        <v>2</v>
      </c>
    </row>
    <row r="26" spans="1:11" s="1" customFormat="1" ht="23" customHeight="1" x14ac:dyDescent="0.2">
      <c r="A26" s="1">
        <v>25</v>
      </c>
      <c r="B26" s="1" t="s">
        <v>35</v>
      </c>
      <c r="C26" s="1">
        <v>12</v>
      </c>
      <c r="D26" s="1">
        <v>8</v>
      </c>
      <c r="E26" s="1">
        <v>7</v>
      </c>
      <c r="F26" s="1">
        <v>10</v>
      </c>
      <c r="G26" s="1">
        <v>12</v>
      </c>
      <c r="H26" s="1">
        <v>7</v>
      </c>
      <c r="I26" s="1">
        <v>4.5</v>
      </c>
      <c r="J26" s="1">
        <v>2</v>
      </c>
      <c r="K26" s="1">
        <v>2.2999999999999998</v>
      </c>
    </row>
    <row r="27" spans="1:11" s="1" customFormat="1" ht="23" customHeight="1" x14ac:dyDescent="0.2">
      <c r="A27" s="1">
        <v>26</v>
      </c>
      <c r="B27" s="1" t="s">
        <v>36</v>
      </c>
      <c r="C27" s="1">
        <v>4</v>
      </c>
      <c r="D27" s="1">
        <v>6</v>
      </c>
      <c r="E27" s="1">
        <v>1</v>
      </c>
      <c r="F27" s="1">
        <v>1</v>
      </c>
      <c r="G27" s="1">
        <v>7.5</v>
      </c>
      <c r="H27" s="1">
        <v>3.5</v>
      </c>
      <c r="I27" s="1">
        <v>1.1000000000000001</v>
      </c>
      <c r="J27" s="1">
        <v>0.48</v>
      </c>
      <c r="K27" s="1">
        <v>1.7</v>
      </c>
    </row>
    <row r="28" spans="1:11" s="1" customFormat="1" ht="23" customHeight="1" x14ac:dyDescent="0.2">
      <c r="A28" s="1">
        <v>27</v>
      </c>
      <c r="B28" s="1" t="s">
        <v>37</v>
      </c>
      <c r="C28" s="1">
        <v>2</v>
      </c>
      <c r="D28" s="1">
        <v>2.5</v>
      </c>
      <c r="E28" s="1">
        <v>1</v>
      </c>
      <c r="F28" s="1">
        <v>1</v>
      </c>
      <c r="G28" s="1">
        <v>2.5</v>
      </c>
      <c r="H28" s="1">
        <v>1</v>
      </c>
      <c r="I28" s="1">
        <v>0.4</v>
      </c>
      <c r="J28" s="1">
        <v>0.1</v>
      </c>
      <c r="K28" s="1">
        <v>0.55000000000000004</v>
      </c>
    </row>
    <row r="29" spans="1:11" s="1" customFormat="1" ht="23" customHeight="1" x14ac:dyDescent="0.2">
      <c r="A29" s="1">
        <v>28</v>
      </c>
      <c r="B29" s="1" t="s">
        <v>38</v>
      </c>
      <c r="C29" s="1">
        <v>2</v>
      </c>
      <c r="D29" s="1">
        <v>3.5</v>
      </c>
      <c r="E29" s="1">
        <v>2</v>
      </c>
      <c r="F29" s="1">
        <v>2</v>
      </c>
      <c r="G29" s="1">
        <v>1.9</v>
      </c>
      <c r="H29" s="1">
        <v>1.2</v>
      </c>
      <c r="I29" s="1">
        <v>0.3</v>
      </c>
      <c r="J29" s="1">
        <v>0.09</v>
      </c>
      <c r="K29" s="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85BB-472B-9243-98AE-3B5D5A40535E}">
  <dimension ref="A1:K5"/>
  <sheetViews>
    <sheetView workbookViewId="0">
      <selection activeCell="J16" sqref="J16"/>
    </sheetView>
  </sheetViews>
  <sheetFormatPr baseColWidth="10" defaultRowHeight="16" x14ac:dyDescent="0.2"/>
  <cols>
    <col min="1" max="1" width="12" style="10" customWidth="1"/>
    <col min="2" max="2" width="10.83203125" style="10"/>
    <col min="3" max="11" width="18.33203125" style="10" customWidth="1"/>
    <col min="12" max="16384" width="10.83203125" style="10"/>
  </cols>
  <sheetData>
    <row r="1" spans="1:11" s="11" customFormat="1" ht="28" customHeight="1" x14ac:dyDescent="0.2"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/>
      <c r="I1" s="8" t="s">
        <v>7</v>
      </c>
      <c r="J1" s="8" t="s">
        <v>8</v>
      </c>
      <c r="K1" s="9" t="s">
        <v>9</v>
      </c>
    </row>
    <row r="2" spans="1:11" ht="25" customHeight="1" x14ac:dyDescent="0.2">
      <c r="A2" s="12" t="s">
        <v>39</v>
      </c>
      <c r="B2" s="10">
        <f>STDEV(Sheet1!C2:C29)</f>
        <v>7.621676133892537</v>
      </c>
      <c r="C2" s="10">
        <f>STDEV(Sheet1!D2:D29)</f>
        <v>5.2396938397573898</v>
      </c>
      <c r="D2" s="10">
        <f>STDEV(Sheet1!E2:E29)</f>
        <v>32.30034317638389</v>
      </c>
      <c r="E2" s="10">
        <f>STDEV(Sheet1!F2:F29)</f>
        <v>20.617292531337654</v>
      </c>
      <c r="F2" s="10">
        <f>STDEV(Sheet1!G2:G29)</f>
        <v>8.2032159134543896</v>
      </c>
      <c r="G2" s="15">
        <f>STDEV(Sheet1!H2:H29)</f>
        <v>4.1263830453603125</v>
      </c>
      <c r="H2" s="12" t="s">
        <v>39</v>
      </c>
      <c r="I2" s="10">
        <f>STDEV(Sheet1!I2:I29)</f>
        <v>2.0971092159189193</v>
      </c>
      <c r="J2" s="10">
        <f>STDEV(Sheet1!J2:J29)</f>
        <v>0.91320906349575492</v>
      </c>
      <c r="K2" s="10">
        <f>STDEV(Sheet1!K2:K29)</f>
        <v>1.7026240252705742</v>
      </c>
    </row>
    <row r="3" spans="1:11" x14ac:dyDescent="0.2">
      <c r="A3" s="13" t="s">
        <v>40</v>
      </c>
      <c r="B3" s="10">
        <f>AVERAGE(Sheet1!C2:C29)</f>
        <v>9.3571428571428577</v>
      </c>
      <c r="C3" s="10">
        <f>AVERAGE(Sheet1!D2:D29)</f>
        <v>8.0571428571428569</v>
      </c>
      <c r="D3" s="10">
        <f>AVERAGE(Sheet1!E2:E29)</f>
        <v>21.857142857142858</v>
      </c>
      <c r="E3" s="10">
        <f>AVERAGE(Sheet1!F2:F29)</f>
        <v>18.464285714285715</v>
      </c>
      <c r="F3" s="10">
        <f>AVERAGE(Sheet1!G2:G29)</f>
        <v>10.264285714285714</v>
      </c>
      <c r="G3" s="15">
        <f>AVERAGE(Sheet1!H2:H29)</f>
        <v>4.95</v>
      </c>
      <c r="H3" s="13" t="s">
        <v>40</v>
      </c>
      <c r="I3" s="10">
        <f>AVERAGE(Sheet1!I2:I29)</f>
        <v>2.6017857142857141</v>
      </c>
      <c r="J3" s="10">
        <f>AVERAGE(Sheet1!J2:J29)</f>
        <v>0.93785714285714294</v>
      </c>
      <c r="K3" s="10">
        <f>AVERAGE(Sheet1!K2:K29)</f>
        <v>2.032142857142857</v>
      </c>
    </row>
    <row r="4" spans="1:11" ht="19" x14ac:dyDescent="0.2">
      <c r="A4" s="13" t="s">
        <v>41</v>
      </c>
      <c r="B4" s="14">
        <f>B2/B3</f>
        <v>0.81453027385111076</v>
      </c>
      <c r="C4" s="14">
        <f t="shared" ref="C4:K4" si="0">C2/C3</f>
        <v>0.65031661131740659</v>
      </c>
      <c r="D4" s="14">
        <f t="shared" si="0"/>
        <v>1.4777934786580864</v>
      </c>
      <c r="E4" s="14">
        <f t="shared" si="0"/>
        <v>1.1166038508267975</v>
      </c>
      <c r="F4" s="14">
        <f t="shared" si="0"/>
        <v>0.7991998802252015</v>
      </c>
      <c r="G4" s="16">
        <f t="shared" si="0"/>
        <v>0.83361273643642675</v>
      </c>
      <c r="H4" s="13" t="s">
        <v>41</v>
      </c>
      <c r="I4" s="14">
        <f t="shared" si="0"/>
        <v>0.80602687777254278</v>
      </c>
      <c r="J4" s="14">
        <f t="shared" si="0"/>
        <v>0.97371872726127706</v>
      </c>
      <c r="K4" s="14">
        <f t="shared" si="0"/>
        <v>0.83784662051979053</v>
      </c>
    </row>
    <row r="5" spans="1:11" x14ac:dyDescent="0.2">
      <c r="B5" s="13"/>
      <c r="C5" s="13"/>
      <c r="D5" s="13"/>
      <c r="E5" s="13"/>
      <c r="F5" s="13"/>
      <c r="G5" s="13"/>
      <c r="H5" s="13"/>
      <c r="I5" s="13"/>
      <c r="J5" s="13"/>
      <c r="K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PARLAMIS</dc:creator>
  <cp:lastModifiedBy>DORUK PARLAMIS</cp:lastModifiedBy>
  <dcterms:created xsi:type="dcterms:W3CDTF">2026-03-30T07:26:39Z</dcterms:created>
  <dcterms:modified xsi:type="dcterms:W3CDTF">2026-05-17T16:07:29Z</dcterms:modified>
</cp:coreProperties>
</file>